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经验曲线" sheetId="2" state="visible" r:id="rId4"/>
    <sheet name="属性成长" sheetId="3" state="visible" r:id="rId5"/>
    <sheet name="主动技能" sheetId="4" state="visible" r:id="rId6"/>
    <sheet name="被动" sheetId="5" state="visible" r:id="rId7"/>
    <sheet name="传奇" sheetId="6" state="visible" r:id="rId8"/>
    <sheet name="词缀池" sheetId="7" state="visible" r:id="rId9"/>
    <sheet name="怪物数值" sheetId="8" state="visible" r:id="rId10"/>
    <sheet name="掉落时间轴" sheetId="9" state="visible" r:id="rId11"/>
    <sheet name="梦魇缩放" sheetId="10" state="visible" r:id="rId12"/>
    <sheet name="验证判定" sheetId="11" state="visible" r:id="rId13"/>
    <sheet name="骸骨卫士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<sst xmlns="http://schemas.openxmlformats.org/spreadsheetml/2006/main" count="363" uniqueCount="310">
  <si>
    <t xml:space="preserve">项</t>
  </si>
  <si>
    <t xml:space="preserve">内容</t>
  </si>
  <si>
    <t xml:space="preserve">版本</t>
  </si>
  <si>
    <t xml:space="preserve">V2.1</t>
  </si>
  <si>
    <t xml:space="preserve">日期</t>
  </si>
  <si>
    <t xml:space="preserve">2026-06-13</t>
  </si>
  <si>
    <t xml:space="preserve">总时长</t>
  </si>
  <si>
    <r>
      <rPr>
        <sz val="11"/>
        <color theme="1"/>
        <rFont val="Calibri"/>
        <family val="2"/>
        <charset val="1"/>
      </rPr>
      <t xml:space="preserve">30min = </t>
    </r>
    <r>
      <rPr>
        <sz val="11"/>
        <color theme="1"/>
        <rFont val="Noto Sans CJK SC"/>
        <family val="2"/>
      </rPr>
      <t xml:space="preserve">主线</t>
    </r>
    <r>
      <rPr>
        <sz val="11"/>
        <color theme="1"/>
        <rFont val="Calibri"/>
        <family val="2"/>
        <charset val="1"/>
      </rPr>
      <t xml:space="preserve">20min(</t>
    </r>
    <r>
      <rPr>
        <sz val="11"/>
        <color theme="1"/>
        <rFont val="Noto Sans CJK SC"/>
        <family val="2"/>
      </rPr>
      <t xml:space="preserve">到屠夫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梦魇</t>
    </r>
    <r>
      <rPr>
        <sz val="11"/>
        <color theme="1"/>
        <rFont val="Calibri"/>
        <family val="2"/>
        <charset val="1"/>
      </rPr>
      <t xml:space="preserve">10min(2</t>
    </r>
    <r>
      <rPr>
        <sz val="11"/>
        <color theme="1"/>
        <rFont val="Noto Sans CJK SC"/>
        <family val="2"/>
      </rPr>
      <t xml:space="preserve">层</t>
    </r>
    <r>
      <rPr>
        <sz val="11"/>
        <color theme="1"/>
        <rFont val="Calibri"/>
        <family val="2"/>
        <charset val="1"/>
      </rPr>
      <t xml:space="preserve">)</t>
    </r>
  </si>
  <si>
    <t xml:space="preserve">职业</t>
  </si>
  <si>
    <t xml:space="preserve">单职业 亚马逊(弓系,主属性=敏捷,资源=专注:上限100/被动回复8每秒/利箭命中回4)</t>
  </si>
  <si>
    <t xml:space="preserve">等级</t>
  </si>
  <si>
    <r>
      <rPr>
        <sz val="11"/>
        <color theme="1"/>
        <rFont val="Calibri"/>
        <family val="2"/>
        <charset val="1"/>
      </rPr>
      <t xml:space="preserve">1-8</t>
    </r>
    <r>
      <rPr>
        <sz val="11"/>
        <color theme="1"/>
        <rFont val="Noto Sans CJK SC"/>
        <family val="2"/>
      </rPr>
      <t xml:space="preserve">级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技能槽</t>
    </r>
    <r>
      <rPr>
        <sz val="11"/>
        <color theme="1"/>
        <rFont val="Calibri"/>
        <family val="2"/>
        <charset val="1"/>
      </rPr>
      <t xml:space="preserve">5(5</t>
    </r>
    <r>
      <rPr>
        <sz val="11"/>
        <color theme="1"/>
        <rFont val="Noto Sans CJK SC"/>
        <family val="2"/>
      </rPr>
      <t xml:space="preserve">级全开</t>
    </r>
    <r>
      <rPr>
        <sz val="11"/>
        <color theme="1"/>
        <rFont val="Calibri"/>
        <family val="2"/>
        <charset val="1"/>
      </rPr>
      <t xml:space="preserve">)</t>
    </r>
  </si>
  <si>
    <t xml:space="preserve">唯一Boss</t>
  </si>
  <si>
    <t xml:space="preserve">屠夫</t>
  </si>
  <si>
    <t xml:space="preserve">梦魇</t>
  </si>
  <si>
    <t xml:space="preserve">梦魇2层,数值复用关卡2/3 Tile,不做新地图/新Boss/新美术</t>
  </si>
  <si>
    <t xml:space="preserve">首件传奇</t>
  </si>
  <si>
    <t xml:space="preserve">≤8min</t>
  </si>
  <si>
    <t xml:space="preserve">口径</t>
  </si>
  <si>
    <r>
      <rPr>
        <sz val="11"/>
        <color theme="1"/>
        <rFont val="Calibri"/>
        <family val="2"/>
        <charset val="1"/>
      </rPr>
      <t xml:space="preserve">30min·</t>
    </r>
    <r>
      <rPr>
        <sz val="11"/>
        <color theme="1"/>
        <rFont val="Noto Sans CJK SC"/>
        <family val="2"/>
      </rPr>
      <t xml:space="preserve">单职业亚马逊弓系</t>
    </r>
    <r>
      <rPr>
        <sz val="11"/>
        <color theme="1"/>
        <rFont val="Calibri"/>
        <family val="2"/>
        <charset val="1"/>
      </rPr>
      <t xml:space="preserve">·1-8</t>
    </r>
    <r>
      <rPr>
        <sz val="11"/>
        <color theme="1"/>
        <rFont val="Noto Sans CJK SC"/>
        <family val="2"/>
      </rPr>
      <t xml:space="preserve">级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技能槽</t>
    </r>
    <r>
      <rPr>
        <sz val="11"/>
        <color theme="1"/>
        <rFont val="Calibri"/>
        <family val="2"/>
        <charset val="1"/>
      </rPr>
      <t xml:space="preserve">5·</t>
    </r>
    <r>
      <rPr>
        <sz val="11"/>
        <color theme="1"/>
        <rFont val="Noto Sans CJK SC"/>
        <family val="2"/>
      </rPr>
      <t xml:space="preserve">唯一</t>
    </r>
    <r>
      <rPr>
        <sz val="11"/>
        <color theme="1"/>
        <rFont val="Calibri"/>
        <family val="2"/>
        <charset val="1"/>
      </rPr>
      <t xml:space="preserve">Boss</t>
    </r>
    <r>
      <rPr>
        <sz val="11"/>
        <color theme="1"/>
        <rFont val="Noto Sans CJK SC"/>
        <family val="2"/>
      </rPr>
      <t xml:space="preserve">屠夫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梦魇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层数值复用</t>
    </r>
  </si>
  <si>
    <r>
      <rPr>
        <sz val="11"/>
        <color theme="1"/>
        <rFont val="Calibri"/>
        <family val="2"/>
        <charset val="1"/>
      </rPr>
      <t xml:space="preserve">V2.1</t>
    </r>
    <r>
      <rPr>
        <sz val="11"/>
        <color theme="1"/>
        <rFont val="Noto Sans CJK SC"/>
        <family val="2"/>
      </rPr>
      <t xml:space="preserve">新增</t>
    </r>
  </si>
  <si>
    <t xml:space="preserve">怪物名单调整:新增 骸骨卫士(盾兵) 白怪变体(生命×1.6/攻×1.3/移速70%/经验×1.5/正面120°弧非穿透箭伤-75%,见 骸骨卫士 表);删除 诈尸走尸、掘地食腐者(两类破土/钻地伏击)。白怪 8→6。技能/升级/经验/伤害公式不变。</t>
  </si>
  <si>
    <t xml:space="preserve">Lv</t>
  </si>
  <si>
    <t xml:space="preserve">升至下级所需经验</t>
  </si>
  <si>
    <t xml:space="preserve">累计经验</t>
  </si>
  <si>
    <t xml:space="preserve">目标用时(分)</t>
  </si>
  <si>
    <t xml:space="preserve">主线位置</t>
  </si>
  <si>
    <t xml:space="preserve">本级新解锁</t>
  </si>
  <si>
    <t xml:space="preserve">0~2.5</t>
  </si>
  <si>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协防城门</t>
    </r>
  </si>
  <si>
    <t xml:space="preserve">槽1+利箭</t>
  </si>
  <si>
    <t xml:space="preserve">2.5~5.5</t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</si>
  <si>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大教堂</t>
    </r>
  </si>
  <si>
    <t xml:space="preserve">槽2+多重射击</t>
  </si>
  <si>
    <t xml:space="preserve">5.5~9</t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</si>
  <si>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救凯恩</t>
    </r>
  </si>
  <si>
    <t xml:space="preserve">槽3+冰冻箭</t>
  </si>
  <si>
    <t xml:space="preserve">9~13</t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</si>
  <si>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地穴段</t>
    </r>
  </si>
  <si>
    <t xml:space="preserve">槽4+翻滚回避+符文系统</t>
  </si>
  <si>
    <t xml:space="preserve">13~16</t>
  </si>
  <si>
    <r>
      <rPr>
        <sz val="11"/>
        <color theme="1"/>
        <rFont val="Calibri"/>
        <family val="2"/>
        <charset val="1"/>
      </rPr>
      <t xml:space="preserve">M3</t>
    </r>
    <r>
      <rPr>
        <sz val="11"/>
        <color theme="1"/>
        <rFont val="Noto Sans CJK SC"/>
        <family val="2"/>
      </rPr>
      <t xml:space="preserve">痛苦大厅</t>
    </r>
  </si>
  <si>
    <t xml:space="preserve">槽5+女武神+被动槽1(5槽全开)</t>
  </si>
  <si>
    <t xml:space="preserve">16~18.5</t>
  </si>
  <si>
    <t xml:space="preserve">屠夫前</t>
  </si>
  <si>
    <t xml:space="preserve">第二批符文+被动入池/被动槽2+符文批量</t>
  </si>
  <si>
    <t xml:space="preserve">屠夫后~梦魇层1</t>
  </si>
  <si>
    <t xml:space="preserve">梦魇层1内</t>
  </si>
  <si>
    <t xml:space="preserve">终极符文</t>
  </si>
  <si>
    <t xml:space="preserve">—</t>
  </si>
  <si>
    <t xml:space="preserve">梦魇层1补满</t>
  </si>
  <si>
    <t xml:space="preserve">梦魇层1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</si>
  <si>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级封顶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屠夫战玩家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级</t>
    </r>
    <r>
      <rPr>
        <sz val="11"/>
        <color theme="1"/>
        <rFont val="Calibri"/>
        <family val="2"/>
        <charset val="1"/>
      </rPr>
      <t xml:space="preserve">,8</t>
    </r>
    <r>
      <rPr>
        <sz val="11"/>
        <color theme="1"/>
        <rFont val="Noto Sans CJK SC"/>
        <family val="2"/>
      </rPr>
      <t xml:space="preserve">级在梦魇层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补满</t>
    </r>
  </si>
  <si>
    <t xml:space="preserve">敏捷裸</t>
  </si>
  <si>
    <t xml:space="preserve">体能裸</t>
  </si>
  <si>
    <t xml:space="preserve">生命裸</t>
  </si>
  <si>
    <t xml:space="preserve">武器Tier</t>
  </si>
  <si>
    <t xml:space="preserve">武器DPS区间</t>
  </si>
  <si>
    <t xml:space="preserve">T1</t>
  </si>
  <si>
    <t xml:space="preserve">3~8</t>
  </si>
  <si>
    <r>
      <rPr>
        <sz val="11"/>
        <color theme="1"/>
        <rFont val="Calibri"/>
        <family val="2"/>
        <charset val="1"/>
      </rPr>
      <t xml:space="preserve">T2(</t>
    </r>
    <r>
      <rPr>
        <sz val="11"/>
        <color theme="1"/>
        <rFont val="Noto Sans CJK SC"/>
        <family val="2"/>
      </rPr>
      <t xml:space="preserve">台阶</t>
    </r>
    <r>
      <rPr>
        <sz val="11"/>
        <color theme="1"/>
        <rFont val="Calibri"/>
        <family val="2"/>
        <charset val="1"/>
      </rPr>
      <t xml:space="preserve">)</t>
    </r>
  </si>
  <si>
    <t xml:space="preserve">9~18</t>
  </si>
  <si>
    <t xml:space="preserve">T2</t>
  </si>
  <si>
    <r>
      <rPr>
        <sz val="11"/>
        <color theme="1"/>
        <rFont val="Calibri"/>
        <family val="2"/>
        <charset val="1"/>
      </rPr>
      <t xml:space="preserve">T3(</t>
    </r>
    <r>
      <rPr>
        <sz val="11"/>
        <color theme="1"/>
        <rFont val="Noto Sans CJK SC"/>
        <family val="2"/>
      </rPr>
      <t xml:space="preserve">台阶</t>
    </r>
    <r>
      <rPr>
        <sz val="11"/>
        <color theme="1"/>
        <rFont val="Calibri"/>
        <family val="2"/>
        <charset val="1"/>
      </rPr>
      <t xml:space="preserve">)</t>
    </r>
  </si>
  <si>
    <t xml:space="preserve">20~32</t>
  </si>
  <si>
    <t xml:space="preserve">T3</t>
  </si>
  <si>
    <t xml:space="preserve">技能</t>
  </si>
  <si>
    <t xml:space="preserve">定位</t>
  </si>
  <si>
    <t xml:space="preserve">解锁Lv</t>
  </si>
  <si>
    <t xml:space="preserve">资源</t>
  </si>
  <si>
    <t xml:space="preserve">CD</t>
  </si>
  <si>
    <t xml:space="preserve">倍率</t>
  </si>
  <si>
    <t xml:space="preserve">符文1</t>
  </si>
  <si>
    <t xml:space="preserve">符文1解锁级</t>
  </si>
  <si>
    <t xml:space="preserve">符文2</t>
  </si>
  <si>
    <t xml:space="preserve">符文2解锁级</t>
  </si>
  <si>
    <t xml:space="preserve">利箭</t>
  </si>
  <si>
    <t xml:space="preserve">产能/单体</t>
  </si>
  <si>
    <t xml:space="preserve">Lv1</t>
  </si>
  <si>
    <t xml:space="preserve">命中回4专注</t>
  </si>
  <si>
    <t xml:space="preserve">无</t>
  </si>
  <si>
    <t xml:space="preserve">155%</t>
  </si>
  <si>
    <t xml:space="preserve">穿透箭:贯穿直线全部敌人</t>
  </si>
  <si>
    <t xml:space="preserve">Lv4</t>
  </si>
  <si>
    <t xml:space="preserve">烈焰箭:附加40%火DoT/2s</t>
  </si>
  <si>
    <t xml:space="preserve">Lv7</t>
  </si>
  <si>
    <t xml:space="preserve">多重射击</t>
  </si>
  <si>
    <t xml:space="preserve">泄能/AoE扇形</t>
  </si>
  <si>
    <t xml:space="preserve">Lv2</t>
  </si>
  <si>
    <t xml:space="preserve">耗20</t>
  </si>
  <si>
    <r>
      <rPr>
        <sz val="11"/>
        <color theme="1"/>
        <rFont val="Calibri"/>
        <family val="2"/>
        <charset val="1"/>
      </rPr>
      <t xml:space="preserve">110%×5</t>
    </r>
    <r>
      <rPr>
        <sz val="11"/>
        <color theme="1"/>
        <rFont val="Noto Sans CJK SC"/>
        <family val="2"/>
      </rPr>
      <t xml:space="preserve">箭</t>
    </r>
  </si>
  <si>
    <t xml:space="preserve">火力覆盖:5→7箭</t>
  </si>
  <si>
    <t xml:space="preserve">钢羽(终极):额外一轮且+50%</t>
  </si>
  <si>
    <t xml:space="preserve">Lv8</t>
  </si>
  <si>
    <t xml:space="preserve">冰冻箭</t>
  </si>
  <si>
    <t xml:space="preserve">控场/AoE</t>
  </si>
  <si>
    <t xml:space="preserve">Lv3</t>
  </si>
  <si>
    <t xml:space="preserve">耗25</t>
  </si>
  <si>
    <r>
      <rPr>
        <sz val="11"/>
        <color theme="1"/>
        <rFont val="Calibri"/>
        <family val="2"/>
        <charset val="1"/>
      </rPr>
      <t xml:space="preserve">165%+</t>
    </r>
    <r>
      <rPr>
        <sz val="11"/>
        <color theme="1"/>
        <rFont val="Noto Sans CJK SC"/>
        <family val="2"/>
      </rPr>
      <t xml:space="preserve">冻结</t>
    </r>
    <r>
      <rPr>
        <sz val="11"/>
        <color theme="1"/>
        <rFont val="Calibri"/>
        <family val="2"/>
        <charset val="1"/>
      </rPr>
      <t xml:space="preserve">1.5s</t>
    </r>
  </si>
  <si>
    <t xml:space="preserve">深冬:冻结→2.5s</t>
  </si>
  <si>
    <t xml:space="preserve">Lv6</t>
  </si>
  <si>
    <t xml:space="preserve">寒霜碎裂(终极):冻结目标死亡冰爆溅射</t>
  </si>
  <si>
    <t xml:space="preserve">翻滚回避</t>
  </si>
  <si>
    <t xml:space="preserve">位移</t>
  </si>
  <si>
    <t xml:space="preserve">0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</si>
  <si>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秒</t>
    </r>
  </si>
  <si>
    <t xml:space="preserve">后撤+0.4s无敌帧</t>
  </si>
  <si>
    <t xml:space="preserve">疾风:翻滚后移速+30%/3s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</si>
  <si>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单符文</t>
    </r>
    <r>
      <rPr>
        <sz val="11"/>
        <color theme="1"/>
        <rFont val="Calibri"/>
        <family val="2"/>
        <charset val="1"/>
      </rPr>
      <t xml:space="preserve">)</t>
    </r>
  </si>
  <si>
    <t xml:space="preserve">女武神</t>
  </si>
  <si>
    <t xml:space="preserve">召唤/增益(招牌)</t>
  </si>
  <si>
    <t xml:space="preserve">Lv5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</si>
  <si>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秒</t>
    </r>
  </si>
  <si>
    <t xml:space="preserve">召唤协战20s</t>
  </si>
  <si>
    <t xml:space="preserve">战姫祝福:周围+15%攻速光环</t>
  </si>
  <si>
    <t xml:space="preserve">双姫(终极):召唤2个</t>
  </si>
  <si>
    <t xml:space="preserve">被动</t>
  </si>
  <si>
    <t xml:space="preserve">入池Lv</t>
  </si>
  <si>
    <t xml:space="preserve">效果</t>
  </si>
  <si>
    <t xml:space="preserve">配额</t>
  </si>
  <si>
    <t xml:space="preserve">致命精准</t>
  </si>
  <si>
    <t xml:space="preserve">暴击率+8%,对15码外目标暴伤+15%</t>
  </si>
  <si>
    <t xml:space="preserve">进攻/远程激励</t>
  </si>
  <si>
    <t xml:space="preserve">闪避本能</t>
  </si>
  <si>
    <t xml:space="preserve">翻滚/移动后2秒内受到伤害-20%</t>
  </si>
  <si>
    <t xml:space="preserve">攻防/走位</t>
  </si>
  <si>
    <t xml:space="preserve">充沛精力</t>
  </si>
  <si>
    <t xml:space="preserve">专注回复+3/秒,脱战不衰减</t>
  </si>
  <si>
    <t xml:space="preserve">鹰眼</t>
  </si>
  <si>
    <t xml:space="preserve">攻击距离+20%,被远程暴击的目标移速-30%</t>
  </si>
  <si>
    <t xml:space="preserve">控场/机制</t>
  </si>
  <si>
    <t xml:space="preserve">不屈意志</t>
  </si>
  <si>
    <t xml:space="preserve">免死:致死保留15%生命,CD60秒</t>
  </si>
  <si>
    <t xml:space="preserve">免死(恰1)</t>
  </si>
  <si>
    <t xml:space="preserve">名称</t>
  </si>
  <si>
    <t xml:space="preserve">部位</t>
  </si>
  <si>
    <t xml:space="preserve">特效</t>
  </si>
  <si>
    <t xml:space="preserve">服务Build</t>
  </si>
  <si>
    <t xml:space="preserve">投放标记</t>
  </si>
  <si>
    <t xml:space="preserve">女妖之弓</t>
  </si>
  <si>
    <t xml:space="preserve">弓</t>
  </si>
  <si>
    <t xml:space="preserve">多重射击额外+2投射物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</si>
  <si>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多重散射核心</t>
    </r>
  </si>
  <si>
    <t xml:space="preserve">首橙白名单</t>
  </si>
  <si>
    <t xml:space="preserve">冰霜之箭袋</t>
  </si>
  <si>
    <t xml:space="preserve">箭袋</t>
  </si>
  <si>
    <t xml:space="preserve">冰冻/冻缓目标受到伤害+30%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</si>
  <si>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冰控核心</t>
    </r>
  </si>
  <si>
    <t xml:space="preserve">疾风之靴</t>
  </si>
  <si>
    <t xml:space="preserve">靴</t>
  </si>
  <si>
    <t xml:space="preserve">翻滚回避无CD,改为消耗25专注;翻滚留1诱饵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</si>
  <si>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机动核心</t>
    </r>
  </si>
  <si>
    <t xml:space="preserve">女武神之冠</t>
  </si>
  <si>
    <t xml:space="preserve">头</t>
  </si>
  <si>
    <t xml:space="preserve">女武神召唤数+1,持续+50%</t>
  </si>
  <si>
    <t xml:space="preserve">召唤强化</t>
  </si>
  <si>
    <t xml:space="preserve">专注引擎</t>
  </si>
  <si>
    <t xml:space="preserve">护身符</t>
  </si>
  <si>
    <t xml:space="preserve">暴击回6专注</t>
  </si>
  <si>
    <t xml:space="preserve">资源引擎(验证装备改变手感)</t>
  </si>
  <si>
    <t xml:space="preserve">屠夫前(13~17min)保底</t>
  </si>
  <si>
    <t xml:space="preserve">序号</t>
  </si>
  <si>
    <t xml:space="preserve">词缀</t>
  </si>
  <si>
    <r>
      <rPr>
        <b val="true"/>
        <sz val="11"/>
        <rFont val="Cambria"/>
        <family val="0"/>
        <charset val="1"/>
      </rPr>
      <t xml:space="preserve">T1</t>
    </r>
    <r>
      <rPr>
        <b val="true"/>
        <sz val="11"/>
        <rFont val="Noto Sans CJK SC"/>
        <family val="2"/>
      </rPr>
      <t xml:space="preserve">范围</t>
    </r>
  </si>
  <si>
    <r>
      <rPr>
        <b val="true"/>
        <sz val="11"/>
        <rFont val="Cambria"/>
        <family val="0"/>
        <charset val="1"/>
      </rPr>
      <t xml:space="preserve">T3</t>
    </r>
    <r>
      <rPr>
        <b val="true"/>
        <sz val="11"/>
        <rFont val="Noto Sans CJK SC"/>
        <family val="2"/>
      </rPr>
      <t xml:space="preserve">范围</t>
    </r>
  </si>
  <si>
    <t xml:space="preserve">可出现部位</t>
  </si>
  <si>
    <t xml:space="preserve">类别</t>
  </si>
  <si>
    <t xml:space="preserve">敏捷</t>
  </si>
  <si>
    <t xml:space="preserve">+2~4</t>
  </si>
  <si>
    <t xml:space="preserve">+10~18</t>
  </si>
  <si>
    <t xml:space="preserve">全部位</t>
  </si>
  <si>
    <t xml:space="preserve">进攻</t>
  </si>
  <si>
    <t xml:space="preserve">暴击率</t>
  </si>
  <si>
    <t xml:space="preserve">+1~2%</t>
  </si>
  <si>
    <t xml:space="preserve">+3~6%</t>
  </si>
  <si>
    <t xml:space="preserve">手套/戒指/项链/头</t>
  </si>
  <si>
    <t xml:space="preserve">暴击伤害</t>
  </si>
  <si>
    <t xml:space="preserve">+10~15%</t>
  </si>
  <si>
    <t xml:space="preserve">+25~50%</t>
  </si>
  <si>
    <t xml:space="preserve">项链/手套/戒指</t>
  </si>
  <si>
    <t xml:space="preserve">攻击速度</t>
  </si>
  <si>
    <t xml:space="preserve">+3~4%</t>
  </si>
  <si>
    <t xml:space="preserve">+5~7%</t>
  </si>
  <si>
    <t xml:space="preserve">弓/手套/戒指</t>
  </si>
  <si>
    <t xml:space="preserve">武器伤害(min~max)</t>
  </si>
  <si>
    <t xml:space="preserve">+1~2</t>
  </si>
  <si>
    <t xml:space="preserve">+4~9</t>
  </si>
  <si>
    <t xml:space="preserve">仅弓</t>
  </si>
  <si>
    <t xml:space="preserve">技能伤害%(多重/冰箭/利箭/女武神)</t>
  </si>
  <si>
    <t xml:space="preserve">+5~8%</t>
  </si>
  <si>
    <t xml:space="preserve">+10~20%</t>
  </si>
  <si>
    <t xml:space="preserve">头/胸/靴/箭袋</t>
  </si>
  <si>
    <t xml:space="preserve">体能</t>
  </si>
  <si>
    <t xml:space="preserve">生存</t>
  </si>
  <si>
    <t xml:space="preserve">护甲</t>
  </si>
  <si>
    <t xml:space="preserve">+4~8</t>
  </si>
  <si>
    <t xml:space="preserve">+15~30</t>
  </si>
  <si>
    <t xml:space="preserve">全防具</t>
  </si>
  <si>
    <t xml:space="preserve">全抗性</t>
  </si>
  <si>
    <t xml:space="preserve">+2~3</t>
  </si>
  <si>
    <t xml:space="preserve">+6~12</t>
  </si>
  <si>
    <t xml:space="preserve">全防具+首饰</t>
  </si>
  <si>
    <t xml:space="preserve">移动速度%</t>
  </si>
  <si>
    <t xml:space="preserve">+4~6%</t>
  </si>
  <si>
    <t xml:space="preserve">+8~12%</t>
  </si>
  <si>
    <t xml:space="preserve">仅靴</t>
  </si>
  <si>
    <t xml:space="preserve">功能</t>
  </si>
  <si>
    <t xml:space="preserve">白怪生命</t>
  </si>
  <si>
    <t xml:space="preserve">白怪攻击</t>
  </si>
  <si>
    <t xml:space="preserve">蓝名生命(每只)</t>
  </si>
  <si>
    <t xml:space="preserve">黄名首领生命</t>
  </si>
  <si>
    <r>
      <rPr>
        <b val="true"/>
        <sz val="11"/>
        <rFont val="Cambria"/>
        <family val="0"/>
        <charset val="1"/>
      </rPr>
      <t xml:space="preserve">Boss</t>
    </r>
    <r>
      <rPr>
        <b val="true"/>
        <sz val="11"/>
        <rFont val="Noto Sans CJK SC"/>
        <family val="2"/>
      </rPr>
      <t xml:space="preserve">备注</t>
    </r>
  </si>
  <si>
    <t xml:space="preserve">黄名地穴守卫≈590</t>
  </si>
  <si>
    <t xml:space="preserve">屠夫≈11000/攻≈75(技能另乘1.5~3.0)</t>
  </si>
  <si>
    <t xml:space="preserve">注</t>
  </si>
  <si>
    <t xml:space="preserve">白怪共6种(走尸/疯犬/弓手/肿胀者/召唤者/盾兵);骸骨卫士为白怪变体,数值见单独『骸骨卫士』表。</t>
  </si>
  <si>
    <t xml:space="preserve">时间</t>
  </si>
  <si>
    <t xml:space="preserve">里程碑</t>
  </si>
  <si>
    <t xml:space="preserve">保底手段</t>
  </si>
  <si>
    <t xml:space="preserve">0~3min</t>
  </si>
  <si>
    <t xml:space="preserve">首件蓝装(本职业弓,DPS+60%)</t>
  </si>
  <si>
    <t xml:space="preserve">脚本固定100%</t>
  </si>
  <si>
    <t xml:space="preserve">3~8min</t>
  </si>
  <si>
    <t xml:space="preserve">蓝铺量+首件黄装</t>
  </si>
  <si>
    <t xml:space="preserve">黄名脚本必掉</t>
  </si>
  <si>
    <t xml:space="preserve">软保底(每杀1组精英未出橙+2%)+硬保底(leg_count=0且pity≥8min下个保底载体100%);首橙白名单</t>
  </si>
  <si>
    <t xml:space="preserve">13~17min</t>
  </si>
  <si>
    <t xml:space="preserve">第二件传奇(专注引擎)</t>
  </si>
  <si>
    <t xml:space="preserve">屠夫前保底</t>
  </si>
  <si>
    <t xml:space="preserve">17~20min</t>
  </si>
  <si>
    <t xml:space="preserve">屠夫首杀必掉传奇(毕业件)</t>
  </si>
  <si>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缺口定向</t>
    </r>
  </si>
  <si>
    <t xml:space="preserve">22~26min</t>
  </si>
  <si>
    <t xml:space="preserve">梦魇层1守门必掉传奇</t>
  </si>
  <si>
    <r>
      <rPr>
        <sz val="11"/>
        <color theme="1"/>
        <rFont val="Calibri"/>
        <family val="2"/>
        <charset val="1"/>
      </rPr>
      <t xml:space="preserve">100%+</t>
    </r>
    <r>
      <rPr>
        <sz val="11"/>
        <color theme="1"/>
        <rFont val="Noto Sans CJK SC"/>
        <family val="2"/>
      </rPr>
      <t xml:space="preserve">层内橙权重</t>
    </r>
    <r>
      <rPr>
        <sz val="11"/>
        <color theme="1"/>
        <rFont val="Calibri"/>
        <family val="2"/>
        <charset val="1"/>
      </rPr>
      <t xml:space="preserve">×1.5</t>
    </r>
  </si>
  <si>
    <t xml:space="preserve">26~30min</t>
  </si>
  <si>
    <t xml:space="preserve">梦魇层2守门必掉传奇×2+结算箱</t>
  </si>
  <si>
    <r>
      <rPr>
        <sz val="11"/>
        <color theme="1"/>
        <rFont val="Calibri"/>
        <family val="2"/>
        <charset val="1"/>
      </rPr>
      <t xml:space="preserve">100%+</t>
    </r>
    <r>
      <rPr>
        <sz val="11"/>
        <color theme="1"/>
        <rFont val="Noto Sans CJK SC"/>
        <family val="2"/>
      </rPr>
      <t xml:space="preserve">层内橙权重</t>
    </r>
    <r>
      <rPr>
        <sz val="11"/>
        <color theme="1"/>
        <rFont val="Calibri"/>
        <family val="2"/>
        <charset val="1"/>
      </rPr>
      <t xml:space="preserve">×2</t>
    </r>
  </si>
  <si>
    <t xml:space="preserve">层</t>
  </si>
  <si>
    <t xml:space="preserve">生命系数</t>
  </si>
  <si>
    <t xml:space="preserve">伤害系数</t>
  </si>
  <si>
    <t xml:space="preserve">白怪绝对(生命/攻)</t>
  </si>
  <si>
    <t xml:space="preserve">守门</t>
  </si>
  <si>
    <t xml:space="preserve">橙权重</t>
  </si>
  <si>
    <t xml:space="preserve">梦魇1·苏醒</t>
  </si>
  <si>
    <t xml:space="preserve">×1.5</t>
  </si>
  <si>
    <t xml:space="preserve">×1.25</t>
  </si>
  <si>
    <t xml:space="preserve">398/56</t>
  </si>
  <si>
    <t xml:space="preserve">黄名强化精英(复用)</t>
  </si>
  <si>
    <t xml:space="preserve">梦魇2·核心</t>
  </si>
  <si>
    <t xml:space="preserve">×2.2</t>
  </si>
  <si>
    <t xml:space="preserve">583/68</t>
  </si>
  <si>
    <t xml:space="preserve">梦魇屠夫=屠夫数值×1.5≈16500,烧地板18s→12s</t>
  </si>
  <si>
    <t xml:space="preserve">×2.0</t>
  </si>
  <si>
    <t xml:space="preserve">编号</t>
  </si>
  <si>
    <t xml:space="preserve">验证目标</t>
  </si>
  <si>
    <t xml:space="preserve">通过线</t>
  </si>
  <si>
    <t xml:space="preserve">V1</t>
  </si>
  <si>
    <t xml:space="preserve">手感</t>
  </si>
  <si>
    <t xml:space="preserve">亚马逊弓系手感+职业内Build差异,问卷打击/技能爽快≥4.0且≤2分占比≤10%</t>
  </si>
  <si>
    <t xml:space="preserve">V2</t>
  </si>
  <si>
    <t xml:space="preserve">掉落</t>
  </si>
  <si>
    <t xml:space="preserve">落地10秒开背包≥80%;首橙中位≤6min,P90≤8min</t>
  </si>
  <si>
    <t xml:space="preserve">V3</t>
  </si>
  <si>
    <t xml:space="preserve">构建</t>
  </si>
  <si>
    <t xml:space="preserve">主动换装中位≥4次;进梦魇前后调整≥1次玩家≥60%</t>
  </si>
  <si>
    <t xml:space="preserve">V4</t>
  </si>
  <si>
    <t xml:space="preserve">循环</t>
  </si>
  <si>
    <t xml:space="preserve">屠夫后主动进梦魇≥75%;梦魇2层通关率≥50%、推进至2层≥75%</t>
  </si>
  <si>
    <t xml:space="preserve">V5</t>
  </si>
  <si>
    <t xml:space="preserve">节奏</t>
  </si>
  <si>
    <t xml:space="preserve">任意3分钟窗口无新东西&lt;10%;主线完成中位12~18min</t>
  </si>
  <si>
    <t xml:space="preserve">一票否决</t>
  </si>
  <si>
    <t xml:space="preserve">硬性约束</t>
  </si>
  <si>
    <r>
      <rPr>
        <sz val="11"/>
        <color theme="1"/>
        <rFont val="Calibri"/>
        <family val="2"/>
        <charset val="1"/>
      </rPr>
      <t xml:space="preserve">V1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V4</t>
    </r>
    <r>
      <rPr>
        <sz val="11"/>
        <color theme="1"/>
        <rFont val="Noto Sans CJK SC"/>
        <family val="2"/>
      </rPr>
      <t xml:space="preserve">任一不达标即失败</t>
    </r>
  </si>
  <si>
    <t xml:space="preserve">骸骨卫士(盾兵) — 白怪第8种 · V2.1新增 · 白怪变体(非新公式)</t>
  </si>
  <si>
    <t xml:space="preserve">参数</t>
  </si>
  <si>
    <t xml:space="preserve">值</t>
  </si>
  <si>
    <t xml:space="preserve">说明</t>
  </si>
  <si>
    <t xml:space="preserve">近战填充/防御机制</t>
  </si>
  <si>
    <t xml:space="preserve">逼出穿透/绕背读解</t>
  </si>
  <si>
    <t xml:space="preserve">白怪 ×1.6</t>
  </si>
  <si>
    <t xml:space="preserve">按怪物数值表 白怪生命 ×1.6</t>
  </si>
  <si>
    <t xml:space="preserve">攻击系数</t>
  </si>
  <si>
    <t xml:space="preserve">白怪 ×1.3</t>
  </si>
  <si>
    <t xml:space="preserve">按怪物数值表 白怪攻击 ×1.3</t>
  </si>
  <si>
    <t xml:space="preserve">移速</t>
  </si>
  <si>
    <t xml:space="preserve">70%</t>
  </si>
  <si>
    <t xml:space="preserve">缓慢推进,前摇0.9s</t>
  </si>
  <si>
    <t xml:space="preserve">经验系数</t>
  </si>
  <si>
    <t xml:space="preserve">白怪 ×1.5</t>
  </si>
  <si>
    <t xml:space="preserve">白怪基础经验 ×1.5</t>
  </si>
  <si>
    <t xml:space="preserve">正面减伤</t>
  </si>
  <si>
    <t xml:space="preserve">-75%</t>
  </si>
  <si>
    <t xml:space="preserve">正面120°弧内,仅对『非穿透箭』生效</t>
  </si>
  <si>
    <t xml:space="preserve">破盾解</t>
  </si>
  <si>
    <t xml:space="preserve">穿透箭符文 / 侧背命中 / 女武神近战 / 冰冻后绕侧</t>
  </si>
  <si>
    <t xml:space="preserve">上述命中全额伤害</t>
  </si>
  <si>
    <t xml:space="preserve">出场</t>
  </si>
  <si>
    <r>
      <rPr>
        <sz val="11"/>
        <color theme="1"/>
        <rFont val="Calibri"/>
        <family val="2"/>
        <charset val="1"/>
      </rPr>
      <t xml:space="preserve">L4-5 </t>
    </r>
    <r>
      <rPr>
        <sz val="11"/>
        <color theme="1"/>
        <rFont val="Noto Sans CJK SC"/>
        <family val="2"/>
      </rPr>
      <t xml:space="preserve">大教堂地穴段起</t>
    </r>
  </si>
  <si>
    <t xml:space="preserve">痛苦大厅与召唤者组成『盾墙』招牌遭遇</t>
  </si>
  <si>
    <t xml:space="preserve">每组数量</t>
  </si>
  <si>
    <r>
      <rPr>
        <sz val="11"/>
        <color theme="1"/>
        <rFont val="Calibri"/>
        <family val="2"/>
        <charset val="1"/>
      </rPr>
      <t xml:space="preserve">≤2-3 </t>
    </r>
    <r>
      <rPr>
        <sz val="11"/>
        <color theme="1"/>
        <rFont val="Noto Sans CJK SC"/>
        <family val="2"/>
      </rPr>
      <t xml:space="preserve">只</t>
    </r>
  </si>
  <si>
    <t xml:space="preserve">与召唤者/远程混编</t>
  </si>
  <si>
    <t xml:space="preserve">反馈</t>
  </si>
  <si>
    <t xml:space="preserve">箭弹盾『叮』溅射,不出飘字</t>
  </si>
  <si>
    <t xml:space="preserve">与正常命中区分(见03 §3)</t>
  </si>
  <si>
    <t xml:space="preserve">逐级数值(随玩家等级动态,8封顶)</t>
  </si>
  <si>
    <t xml:space="preserve">生命(=白怪×1.6)</t>
  </si>
  <si>
    <t xml:space="preserve">攻击(=白怪×1.3)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</si>
</sst>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7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1" t="s">
        <v>3</v>
      </c>
    </row>
    <row r="3" customFormat="false" ht="15" hidden="false" customHeight="true" outlineLevel="0" collapsed="false">
      <c r="A3" s="3" t="s">
        <v>4</v>
      </c>
      <c r="B3" s="1" t="s">
        <v>5</v>
      </c>
    </row>
    <row r="4" customFormat="false" ht="16.5" hidden="false" customHeight="true" outlineLevel="0" collapsed="false">
      <c r="A4" s="3" t="s">
        <v>6</v>
      </c>
      <c r="B4" s="1" t="s">
        <v>7</v>
      </c>
    </row>
    <row r="5" customFormat="false" ht="16.5" hidden="false" customHeight="true" outlineLevel="0" collapsed="false">
      <c r="A5" s="3" t="s">
        <v>8</v>
      </c>
      <c r="B5" s="3" t="s">
        <v>9</v>
      </c>
    </row>
    <row r="6" customFormat="false" ht="16.5" hidden="false" customHeight="true" outlineLevel="0" collapsed="false">
      <c r="A6" s="3" t="s">
        <v>10</v>
      </c>
      <c r="B6" s="1" t="s">
        <v>11</v>
      </c>
    </row>
    <row r="7" customFormat="false" ht="16.5" hidden="false" customHeight="true" outlineLevel="0" collapsed="false">
      <c r="A7" s="3" t="s">
        <v>12</v>
      </c>
      <c r="B7" s="3" t="s">
        <v>13</v>
      </c>
    </row>
    <row r="8" customFormat="false" ht="16.5" hidden="false" customHeight="true" outlineLevel="0" collapsed="false">
      <c r="A8" s="3" t="s">
        <v>14</v>
      </c>
      <c r="B8" s="3" t="s">
        <v>15</v>
      </c>
    </row>
    <row r="9" customFormat="false" ht="15" hidden="false" customHeight="true" outlineLevel="0" collapsed="false">
      <c r="A9" s="3" t="s">
        <v>16</v>
      </c>
      <c r="B9" s="1" t="s">
        <v>17</v>
      </c>
    </row>
    <row r="10" customFormat="false" ht="16.5" hidden="false" customHeight="true" outlineLevel="0" collapsed="false">
      <c r="A10" s="3" t="s">
        <v>18</v>
      </c>
      <c r="B10" s="1" t="s">
        <v>19</v>
      </c>
    </row>
    <row r="11" customFormat="false" ht="16.5" hidden="false" customHeight="true" outlineLevel="0" collapsed="false">
      <c r="A11" s="1" t="s">
        <v>20</v>
      </c>
      <c r="B11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6.5" hidden="false" customHeight="true" outlineLevel="0" collapsed="false">
      <c r="A1" s="4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customFormat="false" ht="16.5" hidden="false" customHeight="true" outlineLevel="0" collapsed="false">
      <c r="A2" s="1" t="n">
        <v>1</v>
      </c>
      <c r="B2" s="1" t="n">
        <v>300</v>
      </c>
      <c r="C2" s="1" t="n">
        <v>300</v>
      </c>
      <c r="D2" s="1" t="s">
        <v>28</v>
      </c>
      <c r="E2" s="1" t="s">
        <v>29</v>
      </c>
      <c r="F2" s="3" t="s">
        <v>30</v>
      </c>
    </row>
    <row r="3" customFormat="false" ht="16.5" hidden="false" customHeight="true" outlineLevel="0" collapsed="false">
      <c r="A3" s="1" t="n">
        <v>2</v>
      </c>
      <c r="B3" s="1" t="n">
        <v>480</v>
      </c>
      <c r="C3" s="1" t="n">
        <v>780</v>
      </c>
      <c r="D3" s="1" t="s">
        <v>31</v>
      </c>
      <c r="E3" s="1" t="s">
        <v>32</v>
      </c>
      <c r="F3" s="3" t="s">
        <v>33</v>
      </c>
    </row>
    <row r="4" customFormat="false" ht="16.5" hidden="false" customHeight="true" outlineLevel="0" collapsed="false">
      <c r="A4" s="1" t="n">
        <v>3</v>
      </c>
      <c r="B4" s="1" t="n">
        <v>768</v>
      </c>
      <c r="C4" s="1" t="n">
        <v>1548</v>
      </c>
      <c r="D4" s="1" t="s">
        <v>34</v>
      </c>
      <c r="E4" s="1" t="s">
        <v>35</v>
      </c>
      <c r="F4" s="3" t="s">
        <v>36</v>
      </c>
    </row>
    <row r="5" customFormat="false" ht="16.5" hidden="false" customHeight="true" outlineLevel="0" collapsed="false">
      <c r="A5" s="1" t="n">
        <v>4</v>
      </c>
      <c r="B5" s="1" t="n">
        <v>1229</v>
      </c>
      <c r="C5" s="1" t="n">
        <v>2777</v>
      </c>
      <c r="D5" s="1" t="s">
        <v>37</v>
      </c>
      <c r="E5" s="1" t="s">
        <v>38</v>
      </c>
      <c r="F5" s="3" t="s">
        <v>39</v>
      </c>
    </row>
    <row r="6" customFormat="false" ht="16.5" hidden="false" customHeight="true" outlineLevel="0" collapsed="false">
      <c r="A6" s="1" t="n">
        <v>5</v>
      </c>
      <c r="B6" s="1" t="n">
        <v>1966</v>
      </c>
      <c r="C6" s="1" t="n">
        <v>4743</v>
      </c>
      <c r="D6" s="1" t="s">
        <v>40</v>
      </c>
      <c r="E6" s="1" t="s">
        <v>41</v>
      </c>
      <c r="F6" s="3" t="s">
        <v>42</v>
      </c>
    </row>
    <row r="7" customFormat="false" ht="16.5" hidden="false" customHeight="true" outlineLevel="0" collapsed="false">
      <c r="A7" s="1" t="n">
        <v>6</v>
      </c>
      <c r="B7" s="1" t="n">
        <v>3146</v>
      </c>
      <c r="C7" s="1" t="n">
        <v>7889</v>
      </c>
      <c r="D7" s="1" t="s">
        <v>43</v>
      </c>
      <c r="E7" s="3" t="s">
        <v>44</v>
      </c>
      <c r="F7" s="3" t="s">
        <v>45</v>
      </c>
    </row>
    <row r="8" customFormat="false" ht="16.5" hidden="false" customHeight="true" outlineLevel="0" collapsed="false">
      <c r="A8" s="1" t="n">
        <v>7</v>
      </c>
      <c r="B8" s="1" t="n">
        <v>5033</v>
      </c>
      <c r="C8" s="1" t="n">
        <v>12922</v>
      </c>
      <c r="D8" s="3" t="s">
        <v>46</v>
      </c>
      <c r="E8" s="3" t="s">
        <v>47</v>
      </c>
      <c r="F8" s="3" t="s">
        <v>48</v>
      </c>
    </row>
    <row r="9" customFormat="false" ht="16.5" hidden="false" customHeight="true" outlineLevel="0" collapsed="false">
      <c r="A9" s="1" t="n">
        <v>8</v>
      </c>
      <c r="B9" s="1" t="s">
        <v>49</v>
      </c>
      <c r="C9" s="1" t="s">
        <v>49</v>
      </c>
      <c r="D9" s="3" t="s">
        <v>50</v>
      </c>
      <c r="E9" s="3" t="s">
        <v>51</v>
      </c>
      <c r="F9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8"/>
    <col collapsed="false" customWidth="true" hidden="false" outlineLevel="0" max="5" min="5" style="1" width="10"/>
    <col collapsed="false" customWidth="true" hidden="false" outlineLevel="0" max="6" min="6" style="1" width="13"/>
  </cols>
  <sheetData>
    <row r="1" customFormat="false" ht="16.5" hidden="false" customHeight="true" outlineLevel="0" collapsed="false">
      <c r="A1" s="4" t="s">
        <v>22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customFormat="false" ht="15" hidden="false" customHeight="true" outlineLevel="0" collapsed="false">
      <c r="A2" s="1" t="n">
        <v>1</v>
      </c>
      <c r="B2" s="1" t="n">
        <v>10</v>
      </c>
      <c r="C2" s="1" t="n">
        <v>10</v>
      </c>
      <c r="D2" s="1" t="n">
        <v>150</v>
      </c>
      <c r="E2" s="1" t="s">
        <v>58</v>
      </c>
      <c r="F2" s="1" t="s">
        <v>59</v>
      </c>
    </row>
    <row r="3" customFormat="false" ht="15" hidden="false" customHeight="true" outlineLevel="0" collapsed="false">
      <c r="A3" s="1" t="n">
        <v>2</v>
      </c>
      <c r="B3" s="1" t="n">
        <v>16</v>
      </c>
      <c r="C3" s="1" t="n">
        <v>14</v>
      </c>
      <c r="D3" s="1" t="n">
        <v>200</v>
      </c>
      <c r="E3" s="1" t="s">
        <v>58</v>
      </c>
      <c r="F3" s="1" t="s">
        <v>59</v>
      </c>
    </row>
    <row r="4" customFormat="false" ht="15" hidden="false" customHeight="true" outlineLevel="0" collapsed="false">
      <c r="A4" s="1" t="n">
        <v>3</v>
      </c>
      <c r="B4" s="1" t="n">
        <v>22</v>
      </c>
      <c r="C4" s="1" t="n">
        <v>18</v>
      </c>
      <c r="D4" s="1" t="n">
        <v>250</v>
      </c>
      <c r="E4" s="1" t="s">
        <v>58</v>
      </c>
      <c r="F4" s="1" t="s">
        <v>59</v>
      </c>
    </row>
    <row r="5" customFormat="false" ht="16.5" hidden="false" customHeight="true" outlineLevel="0" collapsed="false">
      <c r="A5" s="1" t="n">
        <v>4</v>
      </c>
      <c r="B5" s="1" t="n">
        <v>28</v>
      </c>
      <c r="C5" s="1" t="n">
        <v>22</v>
      </c>
      <c r="D5" s="1" t="n">
        <v>300</v>
      </c>
      <c r="E5" s="1" t="s">
        <v>60</v>
      </c>
      <c r="F5" s="1" t="s">
        <v>61</v>
      </c>
    </row>
    <row r="6" customFormat="false" ht="15" hidden="false" customHeight="true" outlineLevel="0" collapsed="false">
      <c r="A6" s="1" t="n">
        <v>5</v>
      </c>
      <c r="B6" s="1" t="n">
        <v>34</v>
      </c>
      <c r="C6" s="1" t="n">
        <v>26</v>
      </c>
      <c r="D6" s="1" t="n">
        <v>350</v>
      </c>
      <c r="E6" s="1" t="s">
        <v>62</v>
      </c>
      <c r="F6" s="1" t="s">
        <v>61</v>
      </c>
    </row>
    <row r="7" customFormat="false" ht="15" hidden="false" customHeight="true" outlineLevel="0" collapsed="false">
      <c r="A7" s="1" t="n">
        <v>6</v>
      </c>
      <c r="B7" s="1" t="n">
        <v>40</v>
      </c>
      <c r="C7" s="1" t="n">
        <v>30</v>
      </c>
      <c r="D7" s="1" t="n">
        <v>400</v>
      </c>
      <c r="E7" s="1" t="s">
        <v>62</v>
      </c>
      <c r="F7" s="1" t="s">
        <v>61</v>
      </c>
    </row>
    <row r="8" customFormat="false" ht="16.5" hidden="false" customHeight="true" outlineLevel="0" collapsed="false">
      <c r="A8" s="1" t="n">
        <v>7</v>
      </c>
      <c r="B8" s="1" t="n">
        <v>46</v>
      </c>
      <c r="C8" s="1" t="n">
        <v>34</v>
      </c>
      <c r="D8" s="1" t="n">
        <v>450</v>
      </c>
      <c r="E8" s="1" t="s">
        <v>63</v>
      </c>
      <c r="F8" s="1" t="s">
        <v>64</v>
      </c>
    </row>
    <row r="9" customFormat="false" ht="15" hidden="false" customHeight="true" outlineLevel="0" collapsed="false">
      <c r="A9" s="1" t="n">
        <v>8</v>
      </c>
      <c r="B9" s="1" t="n">
        <v>52</v>
      </c>
      <c r="C9" s="1" t="n">
        <v>38</v>
      </c>
      <c r="D9" s="1" t="n">
        <v>500</v>
      </c>
      <c r="E9" s="1" t="s">
        <v>65</v>
      </c>
      <c r="F9" s="1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7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7"/>
    <col collapsed="false" customWidth="true" hidden="false" outlineLevel="0" max="7" min="7" style="1" width="27"/>
    <col collapsed="false" customWidth="true" hidden="false" outlineLevel="0" max="8" min="8" style="1" width="13"/>
    <col collapsed="false" customWidth="true" hidden="false" outlineLevel="0" max="9" min="9" style="1" width="37"/>
    <col collapsed="false" customWidth="true" hidden="false" outlineLevel="0" max="10" min="10" style="1" width="13"/>
  </cols>
  <sheetData>
    <row r="1" customFormat="false" ht="16.5" hidden="false" customHeight="true" outlineLevel="0" collapsed="false">
      <c r="A1" s="2" t="s">
        <v>66</v>
      </c>
      <c r="B1" s="2" t="s">
        <v>67</v>
      </c>
      <c r="C1" s="2" t="s">
        <v>68</v>
      </c>
      <c r="D1" s="2" t="s">
        <v>69</v>
      </c>
      <c r="E1" s="4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 customFormat="false" ht="16.5" hidden="false" customHeight="true" outlineLevel="0" collapsed="false">
      <c r="A2" s="3" t="s">
        <v>76</v>
      </c>
      <c r="B2" s="3" t="s">
        <v>77</v>
      </c>
      <c r="C2" s="1" t="s">
        <v>78</v>
      </c>
      <c r="D2" s="3" t="s">
        <v>79</v>
      </c>
      <c r="E2" s="3" t="s">
        <v>80</v>
      </c>
      <c r="F2" s="1" t="s">
        <v>81</v>
      </c>
      <c r="G2" s="3" t="s">
        <v>82</v>
      </c>
      <c r="H2" s="1" t="s">
        <v>83</v>
      </c>
      <c r="I2" s="3" t="s">
        <v>84</v>
      </c>
      <c r="J2" s="1" t="s">
        <v>85</v>
      </c>
    </row>
    <row r="3" customFormat="false" ht="16.5" hidden="false" customHeight="true" outlineLevel="0" collapsed="false">
      <c r="A3" s="3" t="s">
        <v>86</v>
      </c>
      <c r="B3" s="3" t="s">
        <v>87</v>
      </c>
      <c r="C3" s="1" t="s">
        <v>88</v>
      </c>
      <c r="D3" s="3" t="s">
        <v>89</v>
      </c>
      <c r="E3" s="3" t="s">
        <v>80</v>
      </c>
      <c r="F3" s="1" t="s">
        <v>90</v>
      </c>
      <c r="G3" s="3" t="s">
        <v>91</v>
      </c>
      <c r="H3" s="1" t="s">
        <v>83</v>
      </c>
      <c r="I3" s="3" t="s">
        <v>92</v>
      </c>
      <c r="J3" s="1" t="s">
        <v>93</v>
      </c>
    </row>
    <row r="4" customFormat="false" ht="16.5" hidden="false" customHeight="true" outlineLevel="0" collapsed="false">
      <c r="A4" s="3" t="s">
        <v>94</v>
      </c>
      <c r="B4" s="3" t="s">
        <v>95</v>
      </c>
      <c r="C4" s="1" t="s">
        <v>96</v>
      </c>
      <c r="D4" s="3" t="s">
        <v>97</v>
      </c>
      <c r="E4" s="3" t="s">
        <v>80</v>
      </c>
      <c r="F4" s="1" t="s">
        <v>98</v>
      </c>
      <c r="G4" s="3" t="s">
        <v>99</v>
      </c>
      <c r="H4" s="1" t="s">
        <v>100</v>
      </c>
      <c r="I4" s="3" t="s">
        <v>101</v>
      </c>
      <c r="J4" s="1" t="s">
        <v>93</v>
      </c>
    </row>
    <row r="5" customFormat="false" ht="16.5" hidden="false" customHeight="true" outlineLevel="0" collapsed="false">
      <c r="A5" s="3" t="s">
        <v>102</v>
      </c>
      <c r="B5" s="3" t="s">
        <v>103</v>
      </c>
      <c r="C5" s="1" t="s">
        <v>83</v>
      </c>
      <c r="D5" s="1" t="s">
        <v>104</v>
      </c>
      <c r="E5" s="1" t="s">
        <v>105</v>
      </c>
      <c r="F5" s="3" t="s">
        <v>106</v>
      </c>
      <c r="G5" s="3" t="s">
        <v>107</v>
      </c>
      <c r="H5" s="1" t="s">
        <v>85</v>
      </c>
      <c r="I5" s="1" t="s">
        <v>108</v>
      </c>
      <c r="J5" s="1" t="s">
        <v>49</v>
      </c>
    </row>
    <row r="6" customFormat="false" ht="16.5" hidden="false" customHeight="true" outlineLevel="0" collapsed="false">
      <c r="A6" s="3" t="s">
        <v>109</v>
      </c>
      <c r="B6" s="3" t="s">
        <v>110</v>
      </c>
      <c r="C6" s="1" t="s">
        <v>111</v>
      </c>
      <c r="D6" s="1" t="s">
        <v>104</v>
      </c>
      <c r="E6" s="1" t="s">
        <v>112</v>
      </c>
      <c r="F6" s="3" t="s">
        <v>113</v>
      </c>
      <c r="G6" s="3" t="s">
        <v>114</v>
      </c>
      <c r="H6" s="1" t="s">
        <v>100</v>
      </c>
      <c r="I6" s="3" t="s">
        <v>115</v>
      </c>
      <c r="J6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39"/>
    <col collapsed="false" customWidth="true" hidden="false" outlineLevel="0" max="4" min="4" style="1" width="15"/>
  </cols>
  <sheetData>
    <row r="1" customFormat="false" ht="16.5" hidden="false" customHeight="true" outlineLevel="0" collapsed="false">
      <c r="A1" s="2" t="s">
        <v>116</v>
      </c>
      <c r="B1" s="2" t="s">
        <v>117</v>
      </c>
      <c r="C1" s="2" t="s">
        <v>118</v>
      </c>
      <c r="D1" s="2" t="s">
        <v>119</v>
      </c>
    </row>
    <row r="2" customFormat="false" ht="16.5" hidden="false" customHeight="true" outlineLevel="0" collapsed="false">
      <c r="A2" s="3" t="s">
        <v>120</v>
      </c>
      <c r="B2" s="1" t="s">
        <v>111</v>
      </c>
      <c r="C2" s="3" t="s">
        <v>121</v>
      </c>
      <c r="D2" s="3" t="s">
        <v>122</v>
      </c>
    </row>
    <row r="3" customFormat="false" ht="16.5" hidden="false" customHeight="true" outlineLevel="0" collapsed="false">
      <c r="A3" s="3" t="s">
        <v>123</v>
      </c>
      <c r="B3" s="1" t="s">
        <v>111</v>
      </c>
      <c r="C3" s="3" t="s">
        <v>124</v>
      </c>
      <c r="D3" s="3" t="s">
        <v>125</v>
      </c>
    </row>
    <row r="4" customFormat="false" ht="16.5" hidden="false" customHeight="true" outlineLevel="0" collapsed="false">
      <c r="A4" s="3" t="s">
        <v>126</v>
      </c>
      <c r="B4" s="1" t="s">
        <v>85</v>
      </c>
      <c r="C4" s="3" t="s">
        <v>127</v>
      </c>
      <c r="D4" s="3" t="s">
        <v>69</v>
      </c>
    </row>
    <row r="5" customFormat="false" ht="16.5" hidden="false" customHeight="true" outlineLevel="0" collapsed="false">
      <c r="A5" s="3" t="s">
        <v>128</v>
      </c>
      <c r="B5" s="1" t="s">
        <v>85</v>
      </c>
      <c r="C5" s="3" t="s">
        <v>129</v>
      </c>
      <c r="D5" s="3" t="s">
        <v>130</v>
      </c>
    </row>
    <row r="6" customFormat="false" ht="16.5" hidden="false" customHeight="true" outlineLevel="0" collapsed="false">
      <c r="A6" s="3" t="s">
        <v>131</v>
      </c>
      <c r="B6" s="1" t="s">
        <v>93</v>
      </c>
      <c r="C6" s="3" t="s">
        <v>132</v>
      </c>
      <c r="D6" s="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41"/>
    <col collapsed="false" customWidth="true" hidden="false" outlineLevel="0" max="4" min="4" style="1" width="28"/>
    <col collapsed="false" customWidth="true" hidden="false" outlineLevel="0" max="5" min="5" style="1" width="22"/>
  </cols>
  <sheetData>
    <row r="1" customFormat="false" ht="16.5" hidden="false" customHeight="true" outlineLevel="0" collapsed="false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</row>
    <row r="2" customFormat="false" ht="16.5" hidden="false" customHeight="true" outlineLevel="0" collapsed="false">
      <c r="A2" s="3" t="s">
        <v>139</v>
      </c>
      <c r="B2" s="3" t="s">
        <v>140</v>
      </c>
      <c r="C2" s="3" t="s">
        <v>141</v>
      </c>
      <c r="D2" s="1" t="s">
        <v>142</v>
      </c>
      <c r="E2" s="3" t="s">
        <v>143</v>
      </c>
    </row>
    <row r="3" customFormat="false" ht="16.5" hidden="false" customHeight="true" outlineLevel="0" collapsed="false">
      <c r="A3" s="3" t="s">
        <v>144</v>
      </c>
      <c r="B3" s="3" t="s">
        <v>145</v>
      </c>
      <c r="C3" s="3" t="s">
        <v>146</v>
      </c>
      <c r="D3" s="1" t="s">
        <v>147</v>
      </c>
      <c r="E3" s="3" t="s">
        <v>143</v>
      </c>
    </row>
    <row r="4" customFormat="false" ht="16.5" hidden="false" customHeight="true" outlineLevel="0" collapsed="false">
      <c r="A4" s="3" t="s">
        <v>148</v>
      </c>
      <c r="B4" s="3" t="s">
        <v>149</v>
      </c>
      <c r="C4" s="3" t="s">
        <v>150</v>
      </c>
      <c r="D4" s="1" t="s">
        <v>151</v>
      </c>
      <c r="E4" s="3" t="s">
        <v>143</v>
      </c>
    </row>
    <row r="5" customFormat="false" ht="16.5" hidden="false" customHeight="true" outlineLevel="0" collapsed="false">
      <c r="A5" s="3" t="s">
        <v>152</v>
      </c>
      <c r="B5" s="3" t="s">
        <v>153</v>
      </c>
      <c r="C5" s="3" t="s">
        <v>154</v>
      </c>
      <c r="D5" s="3" t="s">
        <v>155</v>
      </c>
      <c r="E5" s="1" t="s">
        <v>49</v>
      </c>
    </row>
    <row r="6" customFormat="false" ht="16.5" hidden="false" customHeight="true" outlineLevel="0" collapsed="false">
      <c r="A6" s="3" t="s">
        <v>156</v>
      </c>
      <c r="B6" s="3" t="s">
        <v>157</v>
      </c>
      <c r="C6" s="3" t="s">
        <v>158</v>
      </c>
      <c r="D6" s="3" t="s">
        <v>159</v>
      </c>
      <c r="E6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4" min="3" style="1" width="9"/>
    <col collapsed="false" customWidth="true" hidden="false" outlineLevel="0" max="5" min="5" style="1" width="19"/>
    <col collapsed="false" customWidth="true" hidden="false" outlineLevel="0" max="6" min="6" style="1" width="8"/>
  </cols>
  <sheetData>
    <row r="1" customFormat="false" ht="16.5" hidden="false" customHeight="true" outlineLevel="0" collapsed="false">
      <c r="A1" s="2" t="s">
        <v>161</v>
      </c>
      <c r="B1" s="2" t="s">
        <v>162</v>
      </c>
      <c r="C1" s="4" t="s">
        <v>163</v>
      </c>
      <c r="D1" s="4" t="s">
        <v>164</v>
      </c>
      <c r="E1" s="2" t="s">
        <v>165</v>
      </c>
      <c r="F1" s="2" t="s">
        <v>166</v>
      </c>
    </row>
    <row r="2" customFormat="false" ht="15" hidden="false" customHeight="true" outlineLevel="0" collapsed="false">
      <c r="A2" s="1" t="n">
        <v>1</v>
      </c>
      <c r="B2" s="3" t="s">
        <v>167</v>
      </c>
      <c r="C2" s="1" t="s">
        <v>168</v>
      </c>
      <c r="D2" s="1" t="s">
        <v>169</v>
      </c>
      <c r="E2" s="3" t="s">
        <v>170</v>
      </c>
      <c r="F2" s="3" t="s">
        <v>171</v>
      </c>
    </row>
    <row r="3" customFormat="false" ht="16.5" hidden="false" customHeight="true" outlineLevel="0" collapsed="false">
      <c r="A3" s="1" t="n">
        <v>2</v>
      </c>
      <c r="B3" s="3" t="s">
        <v>172</v>
      </c>
      <c r="C3" s="1" t="s">
        <v>173</v>
      </c>
      <c r="D3" s="1" t="s">
        <v>174</v>
      </c>
      <c r="E3" s="3" t="s">
        <v>175</v>
      </c>
      <c r="F3" s="3" t="s">
        <v>171</v>
      </c>
    </row>
    <row r="4" customFormat="false" ht="16.5" hidden="false" customHeight="true" outlineLevel="0" collapsed="false">
      <c r="A4" s="1" t="n">
        <v>3</v>
      </c>
      <c r="B4" s="3" t="s">
        <v>176</v>
      </c>
      <c r="C4" s="1" t="s">
        <v>177</v>
      </c>
      <c r="D4" s="1" t="s">
        <v>178</v>
      </c>
      <c r="E4" s="3" t="s">
        <v>179</v>
      </c>
      <c r="F4" s="3" t="s">
        <v>171</v>
      </c>
    </row>
    <row r="5" customFormat="false" ht="16.5" hidden="false" customHeight="true" outlineLevel="0" collapsed="false">
      <c r="A5" s="1" t="n">
        <v>4</v>
      </c>
      <c r="B5" s="3" t="s">
        <v>180</v>
      </c>
      <c r="C5" s="1" t="s">
        <v>181</v>
      </c>
      <c r="D5" s="1" t="s">
        <v>182</v>
      </c>
      <c r="E5" s="3" t="s">
        <v>183</v>
      </c>
      <c r="F5" s="3" t="s">
        <v>171</v>
      </c>
    </row>
    <row r="6" customFormat="false" ht="16.5" hidden="false" customHeight="true" outlineLevel="0" collapsed="false">
      <c r="A6" s="1" t="n">
        <v>5</v>
      </c>
      <c r="B6" s="3" t="s">
        <v>184</v>
      </c>
      <c r="C6" s="1" t="s">
        <v>185</v>
      </c>
      <c r="D6" s="1" t="s">
        <v>186</v>
      </c>
      <c r="E6" s="3" t="s">
        <v>187</v>
      </c>
      <c r="F6" s="3" t="s">
        <v>171</v>
      </c>
    </row>
    <row r="7" customFormat="false" ht="16.5" hidden="false" customHeight="true" outlineLevel="0" collapsed="false">
      <c r="A7" s="1" t="n">
        <v>6</v>
      </c>
      <c r="B7" s="3" t="s">
        <v>188</v>
      </c>
      <c r="C7" s="1" t="s">
        <v>189</v>
      </c>
      <c r="D7" s="1" t="s">
        <v>190</v>
      </c>
      <c r="E7" s="3" t="s">
        <v>191</v>
      </c>
      <c r="F7" s="3" t="s">
        <v>171</v>
      </c>
    </row>
    <row r="8" customFormat="false" ht="15" hidden="false" customHeight="true" outlineLevel="0" collapsed="false">
      <c r="A8" s="1" t="n">
        <v>7</v>
      </c>
      <c r="B8" s="3" t="s">
        <v>192</v>
      </c>
      <c r="C8" s="1" t="s">
        <v>168</v>
      </c>
      <c r="D8" s="1" t="s">
        <v>169</v>
      </c>
      <c r="E8" s="3" t="s">
        <v>170</v>
      </c>
      <c r="F8" s="3" t="s">
        <v>193</v>
      </c>
    </row>
    <row r="9" customFormat="false" ht="15" hidden="false" customHeight="true" outlineLevel="0" collapsed="false">
      <c r="A9" s="1" t="n">
        <v>8</v>
      </c>
      <c r="B9" s="3" t="s">
        <v>194</v>
      </c>
      <c r="C9" s="1" t="s">
        <v>195</v>
      </c>
      <c r="D9" s="1" t="s">
        <v>196</v>
      </c>
      <c r="E9" s="3" t="s">
        <v>197</v>
      </c>
      <c r="F9" s="3" t="s">
        <v>193</v>
      </c>
    </row>
    <row r="10" customFormat="false" ht="16.5" hidden="false" customHeight="true" outlineLevel="0" collapsed="false">
      <c r="A10" s="1" t="n">
        <v>9</v>
      </c>
      <c r="B10" s="3" t="s">
        <v>198</v>
      </c>
      <c r="C10" s="1" t="s">
        <v>199</v>
      </c>
      <c r="D10" s="1" t="s">
        <v>200</v>
      </c>
      <c r="E10" s="3" t="s">
        <v>201</v>
      </c>
      <c r="F10" s="3" t="s">
        <v>193</v>
      </c>
    </row>
    <row r="11" customFormat="false" ht="16.5" hidden="false" customHeight="true" outlineLevel="0" collapsed="false">
      <c r="A11" s="1" t="n">
        <v>10</v>
      </c>
      <c r="B11" s="3" t="s">
        <v>202</v>
      </c>
      <c r="C11" s="1" t="s">
        <v>203</v>
      </c>
      <c r="D11" s="1" t="s">
        <v>204</v>
      </c>
      <c r="E11" s="3" t="s">
        <v>205</v>
      </c>
      <c r="F11" s="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35"/>
  </cols>
  <sheetData>
    <row r="1" customFormat="false" ht="16.5" hidden="false" customHeight="true" outlineLevel="0" collapsed="false">
      <c r="A1" s="4" t="s">
        <v>22</v>
      </c>
      <c r="B1" s="2" t="s">
        <v>207</v>
      </c>
      <c r="C1" s="2" t="s">
        <v>208</v>
      </c>
      <c r="D1" s="2" t="s">
        <v>209</v>
      </c>
      <c r="E1" s="2" t="s">
        <v>210</v>
      </c>
      <c r="F1" s="4" t="s">
        <v>211</v>
      </c>
    </row>
    <row r="2" customFormat="false" ht="15" hidden="false" customHeight="true" outlineLevel="0" collapsed="false">
      <c r="A2" s="1" t="n">
        <v>1</v>
      </c>
      <c r="B2" s="1" t="n">
        <v>40</v>
      </c>
      <c r="C2" s="1" t="n">
        <v>15</v>
      </c>
      <c r="D2" s="1" t="n">
        <v>100</v>
      </c>
      <c r="E2" s="1" t="n">
        <v>200</v>
      </c>
      <c r="F2" s="1" t="s">
        <v>49</v>
      </c>
    </row>
    <row r="3" customFormat="false" ht="15" hidden="false" customHeight="true" outlineLevel="0" collapsed="false">
      <c r="A3" s="1" t="n">
        <v>2</v>
      </c>
      <c r="B3" s="1" t="n">
        <v>52</v>
      </c>
      <c r="C3" s="1" t="n">
        <v>18</v>
      </c>
      <c r="D3" s="1" t="n">
        <v>130</v>
      </c>
      <c r="E3" s="1" t="n">
        <v>260</v>
      </c>
      <c r="F3" s="1" t="s">
        <v>49</v>
      </c>
    </row>
    <row r="4" customFormat="false" ht="15" hidden="false" customHeight="true" outlineLevel="0" collapsed="false">
      <c r="A4" s="1" t="n">
        <v>3</v>
      </c>
      <c r="B4" s="1" t="n">
        <v>68</v>
      </c>
      <c r="C4" s="1" t="n">
        <v>21</v>
      </c>
      <c r="D4" s="1" t="n">
        <v>170</v>
      </c>
      <c r="E4" s="1" t="n">
        <v>340</v>
      </c>
      <c r="F4" s="1" t="s">
        <v>49</v>
      </c>
    </row>
    <row r="5" customFormat="false" ht="15" hidden="false" customHeight="true" outlineLevel="0" collapsed="false">
      <c r="A5" s="1" t="n">
        <v>4</v>
      </c>
      <c r="B5" s="1" t="n">
        <v>90</v>
      </c>
      <c r="C5" s="1" t="n">
        <v>24</v>
      </c>
      <c r="D5" s="1" t="n">
        <v>225</v>
      </c>
      <c r="E5" s="1" t="n">
        <v>450</v>
      </c>
      <c r="F5" s="1" t="s">
        <v>49</v>
      </c>
    </row>
    <row r="6" customFormat="false" ht="16.5" hidden="false" customHeight="true" outlineLevel="0" collapsed="false">
      <c r="A6" s="1" t="n">
        <v>5</v>
      </c>
      <c r="B6" s="1" t="n">
        <v>118</v>
      </c>
      <c r="C6" s="1" t="n">
        <v>28</v>
      </c>
      <c r="D6" s="1" t="n">
        <v>295</v>
      </c>
      <c r="E6" s="1" t="n">
        <v>590</v>
      </c>
      <c r="F6" s="3" t="s">
        <v>212</v>
      </c>
    </row>
    <row r="7" customFormat="false" ht="15" hidden="false" customHeight="true" outlineLevel="0" collapsed="false">
      <c r="A7" s="1" t="n">
        <v>6</v>
      </c>
      <c r="B7" s="1" t="n">
        <v>155</v>
      </c>
      <c r="C7" s="1" t="n">
        <v>33</v>
      </c>
      <c r="D7" s="1" t="n">
        <v>388</v>
      </c>
      <c r="E7" s="1" t="n">
        <v>775</v>
      </c>
      <c r="F7" s="1" t="s">
        <v>49</v>
      </c>
    </row>
    <row r="8" customFormat="false" ht="16.5" hidden="false" customHeight="true" outlineLevel="0" collapsed="false">
      <c r="A8" s="1" t="n">
        <v>7</v>
      </c>
      <c r="B8" s="1" t="n">
        <v>205</v>
      </c>
      <c r="C8" s="1" t="n">
        <v>38</v>
      </c>
      <c r="D8" s="1" t="n">
        <v>513</v>
      </c>
      <c r="E8" s="1" t="n">
        <v>1025</v>
      </c>
      <c r="F8" s="3" t="s">
        <v>213</v>
      </c>
    </row>
    <row r="9" customFormat="false" ht="15" hidden="false" customHeight="true" outlineLevel="0" collapsed="false">
      <c r="A9" s="1" t="n">
        <v>8</v>
      </c>
      <c r="B9" s="1" t="n">
        <v>265</v>
      </c>
      <c r="C9" s="1" t="n">
        <v>45</v>
      </c>
      <c r="D9" s="1" t="n">
        <v>663</v>
      </c>
      <c r="E9" s="1" t="n">
        <v>1325</v>
      </c>
      <c r="F9" s="1" t="s">
        <v>49</v>
      </c>
    </row>
    <row r="11" customFormat="false" ht="16.5" hidden="false" customHeight="true" outlineLevel="0" collapsed="false">
      <c r="A11" s="3" t="s">
        <v>214</v>
      </c>
      <c r="B11" s="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80"/>
  </cols>
  <sheetData>
    <row r="1" customFormat="false" ht="15" hidden="false" customHeight="true" outlineLevel="0" collapsed="false">
      <c r="A1" s="2" t="s">
        <v>216</v>
      </c>
      <c r="B1" s="2" t="s">
        <v>217</v>
      </c>
      <c r="C1" s="2" t="s">
        <v>218</v>
      </c>
    </row>
    <row r="2" customFormat="false" ht="16.5" hidden="false" customHeight="true" outlineLevel="0" collapsed="false">
      <c r="A2" s="1" t="s">
        <v>219</v>
      </c>
      <c r="B2" s="3" t="s">
        <v>220</v>
      </c>
      <c r="C2" s="3" t="s">
        <v>221</v>
      </c>
    </row>
    <row r="3" customFormat="false" ht="16.5" hidden="false" customHeight="true" outlineLevel="0" collapsed="false">
      <c r="A3" s="1" t="s">
        <v>222</v>
      </c>
      <c r="B3" s="3" t="s">
        <v>223</v>
      </c>
      <c r="C3" s="3" t="s">
        <v>224</v>
      </c>
    </row>
    <row r="4" customFormat="false" ht="16.5" hidden="false" customHeight="true" outlineLevel="0" collapsed="false">
      <c r="A4" s="1" t="s">
        <v>17</v>
      </c>
      <c r="B4" s="3" t="s">
        <v>16</v>
      </c>
      <c r="C4" s="3" t="s">
        <v>225</v>
      </c>
    </row>
    <row r="5" customFormat="false" ht="16.5" hidden="false" customHeight="true" outlineLevel="0" collapsed="false">
      <c r="A5" s="1" t="s">
        <v>226</v>
      </c>
      <c r="B5" s="3" t="s">
        <v>227</v>
      </c>
      <c r="C5" s="3" t="s">
        <v>228</v>
      </c>
    </row>
    <row r="6" customFormat="false" ht="16.5" hidden="false" customHeight="true" outlineLevel="0" collapsed="false">
      <c r="A6" s="1" t="s">
        <v>229</v>
      </c>
      <c r="B6" s="3" t="s">
        <v>230</v>
      </c>
      <c r="C6" s="1" t="s">
        <v>231</v>
      </c>
    </row>
    <row r="7" customFormat="false" ht="16.5" hidden="false" customHeight="true" outlineLevel="0" collapsed="false">
      <c r="A7" s="1" t="s">
        <v>232</v>
      </c>
      <c r="B7" s="3" t="s">
        <v>233</v>
      </c>
      <c r="C7" s="1" t="s">
        <v>234</v>
      </c>
    </row>
    <row r="8" customFormat="false" ht="16.5" hidden="false" customHeight="true" outlineLevel="0" collapsed="false">
      <c r="A8" s="1" t="s">
        <v>235</v>
      </c>
      <c r="B8" s="3" t="s">
        <v>236</v>
      </c>
      <c r="C8" s="1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4" min="4" style="1" width="19"/>
    <col collapsed="false" customWidth="true" hidden="false" outlineLevel="0" max="5" min="5" style="1" width="43"/>
    <col collapsed="false" customWidth="true" hidden="false" outlineLevel="0" max="6" min="6" style="1" width="8"/>
  </cols>
  <sheetData>
    <row r="1" customFormat="false" ht="16.5" hidden="false" customHeight="true" outlineLevel="0" collapsed="false">
      <c r="A1" s="2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</row>
    <row r="2" customFormat="false" ht="16.5" hidden="false" customHeight="true" outlineLevel="0" collapsed="false">
      <c r="A2" s="3" t="s">
        <v>244</v>
      </c>
      <c r="B2" s="1" t="s">
        <v>245</v>
      </c>
      <c r="C2" s="1" t="s">
        <v>246</v>
      </c>
      <c r="D2" s="1" t="s">
        <v>247</v>
      </c>
      <c r="E2" s="3" t="s">
        <v>248</v>
      </c>
      <c r="F2" s="1" t="s">
        <v>245</v>
      </c>
    </row>
    <row r="3" customFormat="false" ht="16.5" hidden="false" customHeight="true" outlineLevel="0" collapsed="false">
      <c r="A3" s="3" t="s">
        <v>249</v>
      </c>
      <c r="B3" s="1" t="s">
        <v>250</v>
      </c>
      <c r="C3" s="1" t="s">
        <v>245</v>
      </c>
      <c r="D3" s="1" t="s">
        <v>251</v>
      </c>
      <c r="E3" s="3" t="s">
        <v>252</v>
      </c>
      <c r="F3" s="1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68"/>
  </cols>
  <sheetData>
    <row r="1" customFormat="false" ht="15" hidden="false" customHeight="true" outlineLevel="0" collapsed="false">
      <c r="A1" s="2" t="s">
        <v>254</v>
      </c>
      <c r="B1" s="2" t="s">
        <v>255</v>
      </c>
      <c r="C1" s="2" t="s">
        <v>256</v>
      </c>
    </row>
    <row r="2" customFormat="false" ht="16.5" hidden="false" customHeight="true" outlineLevel="0" collapsed="false">
      <c r="A2" s="1" t="s">
        <v>257</v>
      </c>
      <c r="B2" s="3" t="s">
        <v>258</v>
      </c>
      <c r="C2" s="3" t="s">
        <v>259</v>
      </c>
    </row>
    <row r="3" customFormat="false" ht="16.5" hidden="false" customHeight="true" outlineLevel="0" collapsed="false">
      <c r="A3" s="1" t="s">
        <v>260</v>
      </c>
      <c r="B3" s="3" t="s">
        <v>261</v>
      </c>
      <c r="C3" s="3" t="s">
        <v>262</v>
      </c>
    </row>
    <row r="4" customFormat="false" ht="16.5" hidden="false" customHeight="true" outlineLevel="0" collapsed="false">
      <c r="A4" s="1" t="s">
        <v>263</v>
      </c>
      <c r="B4" s="3" t="s">
        <v>264</v>
      </c>
      <c r="C4" s="3" t="s">
        <v>265</v>
      </c>
    </row>
    <row r="5" customFormat="false" ht="16.5" hidden="false" customHeight="true" outlineLevel="0" collapsed="false">
      <c r="A5" s="1" t="s">
        <v>266</v>
      </c>
      <c r="B5" s="3" t="s">
        <v>267</v>
      </c>
      <c r="C5" s="3" t="s">
        <v>268</v>
      </c>
    </row>
    <row r="6" customFormat="false" ht="16.5" hidden="false" customHeight="true" outlineLevel="0" collapsed="false">
      <c r="A6" s="1" t="s">
        <v>269</v>
      </c>
      <c r="B6" s="3" t="s">
        <v>270</v>
      </c>
      <c r="C6" s="3" t="s">
        <v>271</v>
      </c>
    </row>
    <row r="7" customFormat="false" ht="16.5" hidden="false" customHeight="true" outlineLevel="0" collapsed="false">
      <c r="A7" s="3" t="s">
        <v>272</v>
      </c>
      <c r="B7" s="3" t="s">
        <v>273</v>
      </c>
      <c r="C7" s="1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40"/>
  </cols>
  <sheetData>
    <row r="1" customFormat="false" ht="16.5" hidden="false" customHeight="true" outlineLevel="0" collapsed="false">
      <c r="A1" s="3" t="s">
        <v>275</v>
      </c>
    </row>
    <row r="3" customFormat="false" ht="15" hidden="false" customHeight="true" outlineLevel="0" collapsed="false">
      <c r="A3" s="5" t="s">
        <v>276</v>
      </c>
      <c r="B3" s="5" t="s">
        <v>277</v>
      </c>
      <c r="C3" s="5" t="s">
        <v>278</v>
      </c>
    </row>
    <row r="4" customFormat="false" ht="16.5" hidden="false" customHeight="true" outlineLevel="0" collapsed="false">
      <c r="A4" s="3" t="s">
        <v>67</v>
      </c>
      <c r="B4" s="3" t="s">
        <v>279</v>
      </c>
      <c r="C4" s="3" t="s">
        <v>280</v>
      </c>
    </row>
    <row r="5" customFormat="false" ht="16.5" hidden="false" customHeight="true" outlineLevel="0" collapsed="false">
      <c r="A5" s="3" t="s">
        <v>239</v>
      </c>
      <c r="B5" s="3" t="s">
        <v>281</v>
      </c>
      <c r="C5" s="3" t="s">
        <v>282</v>
      </c>
    </row>
    <row r="6" customFormat="false" ht="16.5" hidden="false" customHeight="true" outlineLevel="0" collapsed="false">
      <c r="A6" s="3" t="s">
        <v>283</v>
      </c>
      <c r="B6" s="3" t="s">
        <v>284</v>
      </c>
      <c r="C6" s="3" t="s">
        <v>285</v>
      </c>
    </row>
    <row r="7" customFormat="false" ht="16.5" hidden="false" customHeight="true" outlineLevel="0" collapsed="false">
      <c r="A7" s="3" t="s">
        <v>286</v>
      </c>
      <c r="B7" s="1" t="s">
        <v>287</v>
      </c>
      <c r="C7" s="3" t="s">
        <v>288</v>
      </c>
    </row>
    <row r="8" customFormat="false" ht="16.5" hidden="false" customHeight="true" outlineLevel="0" collapsed="false">
      <c r="A8" s="3" t="s">
        <v>289</v>
      </c>
      <c r="B8" s="3" t="s">
        <v>290</v>
      </c>
      <c r="C8" s="3" t="s">
        <v>291</v>
      </c>
    </row>
    <row r="9" customFormat="false" ht="16.5" hidden="false" customHeight="true" outlineLevel="0" collapsed="false">
      <c r="A9" s="3" t="s">
        <v>292</v>
      </c>
      <c r="B9" s="1" t="s">
        <v>293</v>
      </c>
      <c r="C9" s="3" t="s">
        <v>294</v>
      </c>
    </row>
    <row r="10" customFormat="false" ht="16.5" hidden="false" customHeight="true" outlineLevel="0" collapsed="false">
      <c r="A10" s="3" t="s">
        <v>295</v>
      </c>
      <c r="B10" s="3" t="s">
        <v>296</v>
      </c>
      <c r="C10" s="3" t="s">
        <v>297</v>
      </c>
    </row>
    <row r="11" customFormat="false" ht="16.5" hidden="false" customHeight="true" outlineLevel="0" collapsed="false">
      <c r="A11" s="3" t="s">
        <v>298</v>
      </c>
      <c r="B11" s="1" t="s">
        <v>299</v>
      </c>
      <c r="C11" s="3" t="s">
        <v>300</v>
      </c>
    </row>
    <row r="12" customFormat="false" ht="16.5" hidden="false" customHeight="true" outlineLevel="0" collapsed="false">
      <c r="A12" s="3" t="s">
        <v>301</v>
      </c>
      <c r="B12" s="1" t="s">
        <v>302</v>
      </c>
      <c r="C12" s="3" t="s">
        <v>303</v>
      </c>
    </row>
    <row r="13" customFormat="false" ht="16.5" hidden="false" customHeight="true" outlineLevel="0" collapsed="false">
      <c r="A13" s="3" t="s">
        <v>304</v>
      </c>
      <c r="B13" s="3" t="s">
        <v>305</v>
      </c>
      <c r="C13" s="3" t="s">
        <v>306</v>
      </c>
    </row>
    <row r="15" customFormat="false" ht="16.5" hidden="false" customHeight="true" outlineLevel="0" collapsed="false">
      <c r="A15" s="5" t="s">
        <v>307</v>
      </c>
      <c r="B15" s="5"/>
      <c r="C15" s="5"/>
    </row>
    <row r="16" customFormat="false" ht="16.5" hidden="false" customHeight="true" outlineLevel="0" collapsed="false">
      <c r="A16" s="6" t="s">
        <v>22</v>
      </c>
      <c r="B16" s="5" t="s">
        <v>308</v>
      </c>
      <c r="C16" s="5" t="s">
        <v>309</v>
      </c>
    </row>
    <row r="17" customFormat="false" ht="15" hidden="false" customHeight="true" outlineLevel="0" collapsed="false">
      <c r="A17" s="1" t="n">
        <v>1</v>
      </c>
      <c r="B17" s="1" t="n">
        <f aca="false">ROUND(怪物数值!B2*1.6,0)</f>
        <v>64</v>
      </c>
      <c r="C17" s="1" t="n">
        <f aca="false">ROUND(怪物数值!C2*1.3,0)</f>
        <v>20</v>
      </c>
    </row>
    <row r="18" customFormat="false" ht="15" hidden="false" customHeight="true" outlineLevel="0" collapsed="false">
      <c r="A18" s="1" t="n">
        <v>2</v>
      </c>
      <c r="B18" s="1" t="n">
        <f aca="false">ROUND(怪物数值!B3*1.6,0)</f>
        <v>83</v>
      </c>
      <c r="C18" s="1" t="n">
        <f aca="false">ROUND(怪物数值!C3*1.3,0)</f>
        <v>23</v>
      </c>
    </row>
    <row r="19" customFormat="false" ht="15" hidden="false" customHeight="true" outlineLevel="0" collapsed="false">
      <c r="A19" s="1" t="n">
        <v>3</v>
      </c>
      <c r="B19" s="1" t="n">
        <f aca="false">ROUND(怪物数值!B4*1.6,0)</f>
        <v>109</v>
      </c>
      <c r="C19" s="1" t="n">
        <f aca="false">ROUND(怪物数值!C4*1.3,0)</f>
        <v>27</v>
      </c>
    </row>
    <row r="20" customFormat="false" ht="15" hidden="false" customHeight="true" outlineLevel="0" collapsed="false">
      <c r="A20" s="1" t="n">
        <v>4</v>
      </c>
      <c r="B20" s="1" t="n">
        <f aca="false">ROUND(怪物数值!B5*1.6,0)</f>
        <v>144</v>
      </c>
      <c r="C20" s="1" t="n">
        <f aca="false">ROUND(怪物数值!C5*1.3,0)</f>
        <v>31</v>
      </c>
    </row>
    <row r="21" customFormat="false" ht="15" hidden="false" customHeight="true" outlineLevel="0" collapsed="false">
      <c r="A21" s="1" t="n">
        <v>5</v>
      </c>
      <c r="B21" s="1" t="n">
        <f aca="false">ROUND(怪物数值!B6*1.6,0)</f>
        <v>189</v>
      </c>
      <c r="C21" s="1" t="n">
        <f aca="false">ROUND(怪物数值!C6*1.3,0)</f>
        <v>36</v>
      </c>
    </row>
    <row r="22" customFormat="false" ht="15" hidden="false" customHeight="true" outlineLevel="0" collapsed="false">
      <c r="A22" s="1" t="n">
        <v>6</v>
      </c>
      <c r="B22" s="1" t="n">
        <f aca="false">ROUND(怪物数值!B7*1.6,0)</f>
        <v>248</v>
      </c>
      <c r="C22" s="1" t="n">
        <f aca="false">ROUND(怪物数值!C7*1.3,0)</f>
        <v>43</v>
      </c>
    </row>
    <row r="23" customFormat="false" ht="15" hidden="false" customHeight="true" outlineLevel="0" collapsed="false">
      <c r="A23" s="1" t="n">
        <v>7</v>
      </c>
      <c r="B23" s="1" t="n">
        <f aca="false">ROUND(怪物数值!B8*1.6,0)</f>
        <v>328</v>
      </c>
      <c r="C23" s="1" t="n">
        <f aca="false">ROUND(怪物数值!C8*1.3,0)</f>
        <v>49</v>
      </c>
    </row>
    <row r="24" customFormat="false" ht="15" hidden="false" customHeight="true" outlineLevel="0" collapsed="false">
      <c r="A24" s="1" t="n">
        <v>8</v>
      </c>
      <c r="B24" s="1" t="n">
        <f aca="false">ROUND(怪物数值!B9*1.6,0)</f>
        <v>424</v>
      </c>
      <c r="C24" s="1" t="n">
        <f aca="false">ROUND(怪物数值!C9*1.3,0)</f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2026-06-13T03:24:59Z</dcterms:created>
  <dc:creator>openpyxl</dc:creator>
  <dc:description/>
  <dc:language>en-US</dc:language>
  <cp:lastModifiedBy/>
  <dcterms:modified xsi:type="dcterms:W3CDTF">2026-06-13T06:52:40Z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